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.iqbal\Downloads\"/>
    </mc:Choice>
  </mc:AlternateContent>
  <xr:revisionPtr revIDLastSave="0" documentId="13_ncr:1_{3FA39B41-C9C2-455C-A865-0402CB83BF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Iqbal" sheetId="1" r:id="rId1"/>
    <sheet name="Cek Data Iqbal" sheetId="2" r:id="rId2"/>
  </sheets>
  <externalReferences>
    <externalReference r:id="rId3"/>
  </externalReferences>
  <calcPr calcId="181029"/>
  <fileRecoveryPr repairLoad="1"/>
  <extLst>
    <ext uri="GoogleSheetsCustomDataVersion2">
      <go:sheetsCustomData xmlns:go="http://customooxmlschemas.google.com/" r:id="rId5" roundtripDataChecksum="k0RqyplecwaEj1aav5v0gGOLOYeC7vIqmv5TEatbs8g="/>
    </ext>
  </extLst>
</workbook>
</file>

<file path=xl/calcChain.xml><?xml version="1.0" encoding="utf-8"?>
<calcChain xmlns="http://schemas.openxmlformats.org/spreadsheetml/2006/main">
  <c r="E6" i="1" l="1"/>
  <c r="F6" i="1" s="1"/>
  <c r="D28" i="2" l="1"/>
  <c r="E53" i="2"/>
  <c r="D50" i="2"/>
  <c r="D6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E26" i="2"/>
  <c r="E24" i="2"/>
  <c r="E31" i="2" l="1"/>
  <c r="D30" i="2"/>
  <c r="D42" i="1"/>
  <c r="D40" i="1"/>
  <c r="D53" i="1" s="1"/>
  <c r="F32" i="2" l="1"/>
  <c r="E5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ID#AAABiDbM_XM
M.iqbal    (2025-04-15 12:44:10)
sudah potong kasbon pak tanggal 350rb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pyXMy1+PpDYm4KPmifvJPwiDC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 21/03/25 : 100.000
 27/03/25 : 100.000
 30/03/24 : 100.000
05/04/25 :   50.000
13/04/25 :  100.000
</t>
        </r>
      </text>
    </comment>
    <comment ref="H9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 21/03/25 : 100.000
 27/03/25 : 100.000
 30/03/24 : 100.000
05/04/25 :   50.000
13/04/25 :  100.000
</t>
        </r>
      </text>
    </comment>
    <comment ref="C18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 30/03/25 : 100.000
 07/04/25 : 150.000
 10/04/25 :  50.000
 13/04/25 : 100.000</t>
        </r>
      </text>
    </comment>
    <comment ref="C26" authorId="0" shapeId="0" xr:uid="{00000000-0006-0000-0100-000004000000}">
      <text>
        <r>
          <rPr>
            <sz val="9"/>
            <color indexed="81"/>
            <rFont val="Tahoma"/>
            <family val="2"/>
          </rPr>
          <t>Rokok Team Perumda : 97.800
Kue pancong : 10.000
Air Mineral : 40.000
Kopi Team Perumda : 12.000
Sewa Piring : 50.000
Sewa Tiker/Terpal : 50.000</t>
        </r>
      </text>
    </comment>
    <comment ref="C45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 21/03/25 : 100.000
 27/03/25 : 100.000
 30/03/24 : 100.000
05/04/25 :   50.000
13/04/25 :  100.000
</t>
        </r>
      </text>
    </comment>
  </commentList>
</comments>
</file>

<file path=xl/sharedStrings.xml><?xml version="1.0" encoding="utf-8"?>
<sst xmlns="http://schemas.openxmlformats.org/spreadsheetml/2006/main" count="100" uniqueCount="72">
  <si>
    <t>No</t>
  </si>
  <si>
    <t>Pengeluaran</t>
  </si>
  <si>
    <t>Total</t>
  </si>
  <si>
    <t>Rincian</t>
  </si>
  <si>
    <t>Tgl</t>
  </si>
  <si>
    <t>Nominal</t>
  </si>
  <si>
    <t>Kasbon Gaji Sindy - Feb 25</t>
  </si>
  <si>
    <t>Kasbon Gaji Iqbal - Feb 25</t>
  </si>
  <si>
    <t>Kasbon Pak tanggal</t>
  </si>
  <si>
    <t>Fee Keamanan ccl - Feb 25</t>
  </si>
  <si>
    <t>Fee Keamanan lunas - Feb 25</t>
  </si>
  <si>
    <t>Insentif Babinsa - Binamas</t>
  </si>
  <si>
    <t>Insentif RT Dois</t>
  </si>
  <si>
    <t>Insentif Keamanan Proyek</t>
  </si>
  <si>
    <t>Kasbon Pak Ata</t>
  </si>
  <si>
    <t xml:space="preserve">Kasbon Kebersihan </t>
  </si>
  <si>
    <t xml:space="preserve">Kasbon Babeh </t>
  </si>
  <si>
    <t>Listrik Kantor TPPS tgl 5 - 30 mar 25</t>
  </si>
  <si>
    <t>Fee Keamanan ccl - Mar 25</t>
  </si>
  <si>
    <t>Makan Siang tim perumda</t>
  </si>
  <si>
    <t xml:space="preserve"> ----------&gt;</t>
  </si>
  <si>
    <t>*Uang makan hanya nambah 156.000 dari uang salar</t>
  </si>
  <si>
    <t>Rokok tim perumda</t>
  </si>
  <si>
    <t>Kue pancong - untuk rapat</t>
  </si>
  <si>
    <t>Air Mineral 2 dus</t>
  </si>
  <si>
    <t>Kopi Tim perumda</t>
  </si>
  <si>
    <t xml:space="preserve">Listrik Kantor TPPS </t>
  </si>
  <si>
    <t xml:space="preserve">Sewa Piring </t>
  </si>
  <si>
    <t>Sewa Tiker/Terpal</t>
  </si>
  <si>
    <t>Insentif Pa Atta_Feb 25</t>
  </si>
  <si>
    <t>Kasbon Insentif Pa Atta_Maret 25</t>
  </si>
  <si>
    <t>Token Listrik TPPS (isi 2x)  Tgl 5 &amp; 30 Maret 25</t>
  </si>
  <si>
    <t>Konsumsi Rapat (Team Perumda, PT &amp; Para Pedagang)</t>
  </si>
  <si>
    <t xml:space="preserve">Token Listrik TPPS </t>
  </si>
  <si>
    <t>Tanggal</t>
  </si>
  <si>
    <t>Keterangan</t>
  </si>
  <si>
    <t>Debit</t>
  </si>
  <si>
    <t xml:space="preserve">Kredit </t>
  </si>
  <si>
    <t>Saldo</t>
  </si>
  <si>
    <t xml:space="preserve">Total Pengeluaran  </t>
  </si>
  <si>
    <t>Sisa Saldo</t>
  </si>
  <si>
    <t>Omset SALAR - Maret 2025</t>
  </si>
  <si>
    <t>OMSET SALAR - MARET 2025</t>
  </si>
  <si>
    <t>KAS SALAR (IQBAL)</t>
  </si>
  <si>
    <r>
      <t xml:space="preserve">Kasbon 1 Gaji Keamanan _ Maret 25  -  </t>
    </r>
    <r>
      <rPr>
        <sz val="10"/>
        <color rgb="FFFF0000"/>
        <rFont val="Bahnschrift Light"/>
        <family val="2"/>
      </rPr>
      <t>2.000.000</t>
    </r>
  </si>
  <si>
    <r>
      <rPr>
        <b/>
        <sz val="10"/>
        <rFont val="Bahnschrift Light"/>
        <family val="2"/>
      </rPr>
      <t>PROYEK</t>
    </r>
    <r>
      <rPr>
        <sz val="10"/>
        <rFont val="Bahnschrift Light"/>
        <family val="2"/>
      </rPr>
      <t xml:space="preserve"> : Insentif Babinsa - Binamas</t>
    </r>
  </si>
  <si>
    <r>
      <rPr>
        <b/>
        <sz val="10"/>
        <rFont val="Bahnschrift Light"/>
        <family val="2"/>
      </rPr>
      <t xml:space="preserve">PROYEK </t>
    </r>
    <r>
      <rPr>
        <sz val="10"/>
        <rFont val="Bahnschrift Light"/>
        <family val="2"/>
      </rPr>
      <t>: Insentif RT Dois</t>
    </r>
  </si>
  <si>
    <r>
      <rPr>
        <b/>
        <sz val="10"/>
        <rFont val="Bahnschrift Light"/>
        <family val="2"/>
      </rPr>
      <t>PROYEK</t>
    </r>
    <r>
      <rPr>
        <sz val="10"/>
        <rFont val="Bahnschrift Light"/>
        <family val="2"/>
      </rPr>
      <t xml:space="preserve"> : Insentif Keamanan Proyek</t>
    </r>
  </si>
  <si>
    <r>
      <rPr>
        <b/>
        <sz val="10"/>
        <rFont val="Bahnschrift Light"/>
        <family val="2"/>
      </rPr>
      <t xml:space="preserve">PROYEK </t>
    </r>
    <r>
      <rPr>
        <sz val="10"/>
        <rFont val="Bahnschrift Light"/>
        <family val="2"/>
      </rPr>
      <t>: Insentif Pak Atta</t>
    </r>
  </si>
  <si>
    <r>
      <t xml:space="preserve">Kasbon 2 Gaji Kebersihan Pasar (Pa Atit) _ Februari 25  -  </t>
    </r>
    <r>
      <rPr>
        <sz val="10"/>
        <color rgb="FFFF0000"/>
        <rFont val="Bahnschrift Light"/>
        <family val="2"/>
      </rPr>
      <t>3.000.000</t>
    </r>
  </si>
  <si>
    <r>
      <t xml:space="preserve">Kasbon 4 Gaji Kebersihan Pasar (Pa Atit) _ Februari 25  -  </t>
    </r>
    <r>
      <rPr>
        <sz val="10"/>
        <color rgb="FFFF0000"/>
        <rFont val="Bahnschrift Light"/>
        <family val="2"/>
      </rPr>
      <t>3.000.000</t>
    </r>
  </si>
  <si>
    <t>PERIODE (Maret - April 2025)</t>
  </si>
  <si>
    <t>Kasbon 2 Gaji Keamanan (Pa Tanggal)_ februari 25  -  2.000.000</t>
  </si>
  <si>
    <r>
      <t xml:space="preserve">Kasbon 3 Gaji Keamanan (Pa Tanggal)_ februari 25  -  </t>
    </r>
    <r>
      <rPr>
        <sz val="10"/>
        <color rgb="FFFF0000"/>
        <rFont val="Bahnschrift Light"/>
        <family val="2"/>
      </rPr>
      <t>2.000.000</t>
    </r>
  </si>
  <si>
    <r>
      <t xml:space="preserve">Kasbon 4 LUNAS Gaji Keamanan (Pa Tanggal) _ februari 25  -  </t>
    </r>
    <r>
      <rPr>
        <sz val="10"/>
        <color rgb="FFFF0000"/>
        <rFont val="Bahnschrift Light"/>
        <family val="2"/>
      </rPr>
      <t>2.000.000</t>
    </r>
  </si>
  <si>
    <t>Kasbon 1 Gaji Keamanan _ februari 25  -  2.000.000</t>
  </si>
  <si>
    <t>Kasbon 1 Gaji Kebersihan Pasar (Pa Atit &amp; Babeh) _ Februari 25  -  3.000.000</t>
  </si>
  <si>
    <t>Keamanan</t>
  </si>
  <si>
    <t>Kebersihan</t>
  </si>
  <si>
    <t xml:space="preserve">Gaji Kebersihan Bln Feb (kelebihan 150,000) masukin Kasbon Gaji kebersihan bln Maret </t>
  </si>
  <si>
    <t xml:space="preserve">Gaji Keamanan  Bln Feb (kelebihan 1.100,000) masukin Kasbon Gaji kebersihan bln Maret </t>
  </si>
  <si>
    <t>Dibayarkan dari kantor</t>
  </si>
  <si>
    <t>OMSET SALAR (4-10 APRIL 2025)</t>
  </si>
  <si>
    <r>
      <t xml:space="preserve">Kasbon 3 Gaji Kebersihan Pasar (Babeh) _ Februari 25  -  </t>
    </r>
    <r>
      <rPr>
        <sz val="10"/>
        <color rgb="FFFF0000"/>
        <rFont val="Bahnschrift Light"/>
        <family val="2"/>
      </rPr>
      <t>3.000.000</t>
    </r>
  </si>
  <si>
    <r>
      <t xml:space="preserve">Kasbon 1 Gaji Kebersihan Pasar (Babeh) _ Maret 25  -  </t>
    </r>
    <r>
      <rPr>
        <sz val="10"/>
        <color rgb="FFFF0000"/>
        <rFont val="Bahnschrift Light"/>
        <family val="2"/>
      </rPr>
      <t>3.000.000</t>
    </r>
  </si>
  <si>
    <r>
      <t xml:space="preserve">Kasbon 5 LUNAS Gaji Kebersihan Pasar (Pa Atit) _ Februari 25  -  </t>
    </r>
    <r>
      <rPr>
        <sz val="10"/>
        <color rgb="FFFF0000"/>
        <rFont val="Bahnschrift Light"/>
        <family val="2"/>
      </rPr>
      <t>3.000.000</t>
    </r>
  </si>
  <si>
    <t>Insentif Pak Ata - Feb 25</t>
  </si>
  <si>
    <t>Insentif Salar Pak Ata - Feb 25</t>
  </si>
  <si>
    <t>Fee Kebersihan - Feb 25</t>
  </si>
  <si>
    <t xml:space="preserve">Kasbon Gaji Iqbal - Feb 25 </t>
  </si>
  <si>
    <t>Sisa</t>
  </si>
  <si>
    <t>Minum Tukang Pembersihan Selokan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</si>
</sst>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* #,##0_-;\-* #,##0_-;_-* &quot;-&quot;_-;_-@"/>
    <numFmt numFmtId="167" formatCode="_-&quot;Rp&quot;* #,##0_-;\-&quot;Rp&quot;* #,##0_-;_-&quot;Rp&quot;* &quot;-&quot;??_-;_-@"/>
    <numFmt numFmtId="168" formatCode="[$-409]d\-mmm\-yy;@"/>
    <numFmt numFmtId="169" formatCode="_(* #,##0_);_(* \(#,##0\);_(* &quot;-&quot;??_);_(@_)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Bahnschrift Light"/>
      <family val="2"/>
    </font>
    <font>
      <b/>
      <sz val="12"/>
      <name val="Bahnschrift Light"/>
      <family val="2"/>
    </font>
    <font>
      <sz val="12"/>
      <color theme="1"/>
      <name val="Bahnschrift Light"/>
      <family val="2"/>
    </font>
    <font>
      <sz val="10"/>
      <name val="Bahnschrift Light"/>
      <family val="2"/>
    </font>
    <font>
      <b/>
      <sz val="10"/>
      <color rgb="FFC00000"/>
      <name val="Bahnschrift Light"/>
      <family val="2"/>
    </font>
    <font>
      <sz val="10"/>
      <color rgb="FFFF0000"/>
      <name val="Bahnschrift Light"/>
      <family val="2"/>
    </font>
    <font>
      <b/>
      <sz val="10"/>
      <name val="Bahnschrift Light"/>
      <family val="2"/>
    </font>
    <font>
      <b/>
      <sz val="11"/>
      <color theme="1"/>
      <name val="Bahnschrift Light"/>
      <family val="2"/>
    </font>
    <font>
      <b/>
      <sz val="18"/>
      <color theme="1"/>
      <name val="Bahnschrift Light"/>
      <family val="2"/>
    </font>
    <font>
      <b/>
      <i/>
      <sz val="10"/>
      <color theme="1"/>
      <name val="Bahnschrift Light"/>
      <family val="2"/>
    </font>
    <font>
      <sz val="10"/>
      <color theme="1"/>
      <name val="Bahnschrift Light"/>
      <family val="2"/>
    </font>
    <font>
      <b/>
      <i/>
      <sz val="10"/>
      <color rgb="FFC00000"/>
      <name val="Bahnschrift Light"/>
      <family val="2"/>
    </font>
    <font>
      <b/>
      <sz val="10"/>
      <color theme="1"/>
      <name val="Bahnschrift Light"/>
      <family val="2"/>
    </font>
    <font>
      <b/>
      <sz val="8"/>
      <color theme="1"/>
      <name val="Bahnschrift Light"/>
      <family val="2"/>
    </font>
    <font>
      <i/>
      <sz val="10"/>
      <color theme="1"/>
      <name val="Bahnschrift Light"/>
      <family val="2"/>
    </font>
    <font>
      <b/>
      <sz val="11"/>
      <color rgb="FFC00000"/>
      <name val="Bahnschrift Light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auto="1"/>
      </right>
      <top/>
      <bottom style="hair">
        <color indexed="64"/>
      </bottom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12">
    <xf numFmtId="0" fontId="0" fillId="0" borderId="0" xfId="0"/>
    <xf numFmtId="166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15" fontId="1" fillId="0" borderId="0" xfId="0" applyNumberFormat="1" applyFont="1"/>
    <xf numFmtId="167" fontId="1" fillId="0" borderId="0" xfId="0" applyNumberFormat="1" applyFont="1"/>
    <xf numFmtId="0" fontId="2" fillId="2" borderId="0" xfId="0" applyFont="1" applyFill="1"/>
    <xf numFmtId="15" fontId="1" fillId="2" borderId="0" xfId="0" applyNumberFormat="1" applyFont="1" applyFill="1"/>
    <xf numFmtId="166" fontId="1" fillId="2" borderId="0" xfId="0" applyNumberFormat="1" applyFont="1" applyFill="1"/>
    <xf numFmtId="166" fontId="0" fillId="0" borderId="0" xfId="0" applyNumberFormat="1"/>
    <xf numFmtId="0" fontId="2" fillId="4" borderId="0" xfId="0" applyFont="1" applyFill="1"/>
    <xf numFmtId="15" fontId="1" fillId="4" borderId="0" xfId="0" applyNumberFormat="1" applyFont="1" applyFill="1"/>
    <xf numFmtId="166" fontId="1" fillId="4" borderId="0" xfId="0" applyNumberFormat="1" applyFont="1" applyFill="1"/>
    <xf numFmtId="0" fontId="2" fillId="6" borderId="0" xfId="0" applyFont="1" applyFill="1"/>
    <xf numFmtId="15" fontId="1" fillId="6" borderId="0" xfId="0" applyNumberFormat="1" applyFont="1" applyFill="1"/>
    <xf numFmtId="166" fontId="1" fillId="6" borderId="0" xfId="0" applyNumberFormat="1" applyFont="1" applyFill="1"/>
    <xf numFmtId="0" fontId="2" fillId="7" borderId="0" xfId="0" applyFont="1" applyFill="1"/>
    <xf numFmtId="15" fontId="1" fillId="7" borderId="0" xfId="0" applyNumberFormat="1" applyFont="1" applyFill="1"/>
    <xf numFmtId="166" fontId="1" fillId="7" borderId="0" xfId="0" applyNumberFormat="1" applyFont="1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5" fillId="9" borderId="19" xfId="0" applyNumberFormat="1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164" fontId="5" fillId="9" borderId="20" xfId="1" applyNumberFormat="1" applyFont="1" applyFill="1" applyBorder="1" applyAlignment="1">
      <alignment horizontal="center" vertical="center"/>
    </xf>
    <xf numFmtId="164" fontId="5" fillId="9" borderId="2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8" fontId="7" fillId="0" borderId="22" xfId="0" applyNumberFormat="1" applyFont="1" applyBorder="1" applyAlignment="1">
      <alignment horizontal="center" vertical="center"/>
    </xf>
    <xf numFmtId="0" fontId="8" fillId="8" borderId="23" xfId="0" applyFont="1" applyFill="1" applyBorder="1" applyAlignment="1">
      <alignment vertical="center"/>
    </xf>
    <xf numFmtId="164" fontId="8" fillId="0" borderId="23" xfId="1" applyNumberFormat="1" applyFont="1" applyBorder="1" applyAlignment="1">
      <alignment vertical="center"/>
    </xf>
    <xf numFmtId="164" fontId="7" fillId="0" borderId="23" xfId="1" applyNumberFormat="1" applyFont="1" applyBorder="1" applyAlignment="1">
      <alignment vertical="center"/>
    </xf>
    <xf numFmtId="168" fontId="7" fillId="8" borderId="9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/>
    </xf>
    <xf numFmtId="164" fontId="7" fillId="8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10" fillId="8" borderId="11" xfId="1" applyNumberFormat="1" applyFont="1" applyFill="1" applyBorder="1" applyAlignment="1">
      <alignment vertical="center"/>
    </xf>
    <xf numFmtId="164" fontId="7" fillId="2" borderId="12" xfId="1" applyNumberFormat="1" applyFont="1" applyFill="1" applyBorder="1" applyAlignment="1">
      <alignment vertical="center"/>
    </xf>
    <xf numFmtId="164" fontId="7" fillId="3" borderId="17" xfId="1" applyNumberFormat="1" applyFont="1" applyFill="1" applyBorder="1" applyAlignment="1">
      <alignment vertical="center"/>
    </xf>
    <xf numFmtId="164" fontId="8" fillId="8" borderId="11" xfId="1" applyNumberFormat="1" applyFont="1" applyFill="1" applyBorder="1" applyAlignment="1">
      <alignment vertical="center"/>
    </xf>
    <xf numFmtId="164" fontId="10" fillId="2" borderId="12" xfId="1" applyNumberFormat="1" applyFont="1" applyFill="1" applyBorder="1" applyAlignment="1">
      <alignment vertical="center"/>
    </xf>
    <xf numFmtId="164" fontId="10" fillId="3" borderId="17" xfId="1" applyNumberFormat="1" applyFont="1" applyFill="1" applyBorder="1" applyAlignment="1">
      <alignment vertical="center"/>
    </xf>
    <xf numFmtId="164" fontId="10" fillId="8" borderId="5" xfId="1" applyNumberFormat="1" applyFont="1" applyFill="1" applyBorder="1" applyAlignment="1">
      <alignment vertical="center"/>
    </xf>
    <xf numFmtId="164" fontId="7" fillId="2" borderId="3" xfId="1" applyNumberFormat="1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168" fontId="7" fillId="8" borderId="2" xfId="0" applyNumberFormat="1" applyFont="1" applyFill="1" applyBorder="1" applyAlignment="1">
      <alignment horizontal="center" vertical="center"/>
    </xf>
    <xf numFmtId="168" fontId="7" fillId="8" borderId="8" xfId="0" applyNumberFormat="1" applyFont="1" applyFill="1" applyBorder="1" applyAlignment="1">
      <alignment horizontal="center" vertical="center"/>
    </xf>
    <xf numFmtId="164" fontId="7" fillId="8" borderId="8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8" borderId="28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26" xfId="0" applyFont="1" applyBorder="1" applyAlignment="1">
      <alignment vertical="center"/>
    </xf>
    <xf numFmtId="164" fontId="4" fillId="0" borderId="24" xfId="0" applyNumberFormat="1" applyFont="1" applyBorder="1" applyAlignment="1">
      <alignment vertical="center"/>
    </xf>
    <xf numFmtId="164" fontId="4" fillId="0" borderId="10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7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9" fontId="16" fillId="0" borderId="0" xfId="1" applyNumberFormat="1" applyFont="1" applyAlignment="1">
      <alignment vertical="center"/>
    </xf>
    <xf numFmtId="0" fontId="4" fillId="0" borderId="8" xfId="0" applyFont="1" applyBorder="1" applyAlignment="1">
      <alignment vertical="center"/>
    </xf>
    <xf numFmtId="169" fontId="4" fillId="4" borderId="2" xfId="1" applyNumberFormat="1" applyFont="1" applyFill="1" applyBorder="1" applyAlignment="1">
      <alignment vertical="center"/>
    </xf>
    <xf numFmtId="169" fontId="17" fillId="6" borderId="0" xfId="1" applyNumberFormat="1" applyFont="1" applyFill="1" applyAlignment="1">
      <alignment vertical="center" wrapText="1"/>
    </xf>
    <xf numFmtId="169" fontId="16" fillId="6" borderId="29" xfId="1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vertical="center" wrapText="1"/>
    </xf>
    <xf numFmtId="169" fontId="4" fillId="4" borderId="0" xfId="0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164" fontId="10" fillId="3" borderId="4" xfId="1" applyNumberFormat="1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169" fontId="19" fillId="0" borderId="2" xfId="1" applyNumberFormat="1" applyFont="1" applyBorder="1" applyAlignment="1">
      <alignment horizontal="center" vertical="center"/>
    </xf>
    <xf numFmtId="164" fontId="7" fillId="11" borderId="2" xfId="1" applyNumberFormat="1" applyFont="1" applyFill="1" applyBorder="1" applyAlignment="1">
      <alignment vertical="center"/>
    </xf>
    <xf numFmtId="164" fontId="7" fillId="5" borderId="2" xfId="1" applyNumberFormat="1" applyFont="1" applyFill="1" applyBorder="1" applyAlignment="1">
      <alignment vertical="center"/>
    </xf>
    <xf numFmtId="164" fontId="7" fillId="10" borderId="2" xfId="1" applyNumberFormat="1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168" fontId="7" fillId="5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4" fillId="11" borderId="2" xfId="0" applyFont="1" applyFill="1" applyBorder="1" applyAlignment="1">
      <alignment horizontal="center" vertical="center"/>
    </xf>
    <xf numFmtId="168" fontId="7" fillId="10" borderId="2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/>
    </xf>
    <xf numFmtId="15" fontId="0" fillId="6" borderId="0" xfId="0" applyNumberFormat="1" applyFill="1"/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5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3" fillId="8" borderId="13" xfId="0" applyFont="1" applyFill="1" applyBorder="1" applyAlignment="1">
      <alignment horizontal="right" vertical="center"/>
    </xf>
    <xf numFmtId="0" fontId="13" fillId="8" borderId="14" xfId="0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9" fontId="16" fillId="7" borderId="29" xfId="1" applyNumberFormat="1" applyFont="1" applyFill="1" applyBorder="1" applyAlignment="1">
      <alignment horizontal="center"/>
    </xf>
    <xf numFmtId="169" fontId="16" fillId="7" borderId="18" xfId="1" applyNumberFormat="1" applyFont="1" applyFill="1" applyBorder="1" applyAlignment="1">
      <alignment horizontal="center"/>
    </xf>
    <xf numFmtId="0" fontId="13" fillId="8" borderId="15" xfId="0" applyFont="1" applyFill="1" applyBorder="1" applyAlignment="1">
      <alignment horizontal="right" vertical="center"/>
    </xf>
    <xf numFmtId="0" fontId="13" fillId="8" borderId="16" xfId="0" applyFont="1" applyFill="1" applyBorder="1" applyAlignment="1">
      <alignment horizontal="right" vertical="center"/>
    </xf>
    <xf numFmtId="0" fontId="15" fillId="8" borderId="9" xfId="0" applyFont="1" applyFill="1" applyBorder="1" applyAlignment="1">
      <alignment horizontal="right" vertical="center"/>
    </xf>
    <xf numFmtId="0" fontId="15" fillId="8" borderId="10" xfId="0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BBY%20FILE\PT%20MAG%20(Multikarya%20Artha%20Gemilang)\PASAR%20KORELET-MAG\SALAR\Rekap%20Salar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_JAN 25"/>
      <sheetName val="SALAR_FEB 25"/>
      <sheetName val="SALAR_MAR 25"/>
      <sheetName val="SALAR_APRIL 25"/>
      <sheetName val="KAS ALL-SALAR"/>
      <sheetName val="Sheet2"/>
      <sheetName val="Bagi Hasil"/>
    </sheetNames>
    <sheetDataSet>
      <sheetData sheetId="0"/>
      <sheetData sheetId="1"/>
      <sheetData sheetId="2">
        <row r="39">
          <cell r="I39">
            <v>9865000</v>
          </cell>
        </row>
      </sheetData>
      <sheetData sheetId="3">
        <row r="17">
          <cell r="J17">
            <v>1331000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H1013"/>
  <sheetViews>
    <sheetView tabSelected="1" topLeftCell="A12" workbookViewId="0">
      <selection activeCell="E22" sqref="E22"/>
    </sheetView>
  </sheetViews>
  <sheetFormatPr defaultColWidth="14.44140625" defaultRowHeight="15" customHeight="1" x14ac:dyDescent="0.3"/>
  <cols>
    <col min="1" max="1" width="10.5546875" customWidth="1"/>
    <col min="2" max="2" width="26.5546875" customWidth="1"/>
    <col min="3" max="3" width="18.109375" customWidth="1"/>
    <col min="4" max="4" width="16.109375" customWidth="1"/>
    <col min="5" max="5" width="11.77734375" style="20" customWidth="1"/>
    <col min="6" max="6" width="8.6640625" customWidth="1"/>
    <col min="7" max="7" width="28.5546875" customWidth="1"/>
    <col min="8" max="8" width="15.109375" customWidth="1"/>
    <col min="9" max="26" width="8.6640625" customWidth="1"/>
  </cols>
  <sheetData>
    <row r="1" spans="1:8" ht="14.25" customHeight="1" x14ac:dyDescent="0.3">
      <c r="D1" s="1"/>
    </row>
    <row r="2" spans="1:8" ht="14.25" customHeight="1" x14ac:dyDescent="0.3">
      <c r="D2" s="1"/>
    </row>
    <row r="3" spans="1:8" ht="14.25" customHeight="1" x14ac:dyDescent="0.3">
      <c r="A3" s="95" t="s">
        <v>0</v>
      </c>
      <c r="B3" s="97" t="s">
        <v>1</v>
      </c>
      <c r="C3" s="96"/>
      <c r="D3" s="96"/>
      <c r="E3" s="97" t="s">
        <v>2</v>
      </c>
      <c r="F3" s="97" t="s">
        <v>70</v>
      </c>
    </row>
    <row r="4" spans="1:8" ht="14.25" customHeight="1" x14ac:dyDescent="0.3">
      <c r="A4" s="96"/>
      <c r="B4" s="2" t="s">
        <v>3</v>
      </c>
      <c r="C4" s="2" t="s">
        <v>4</v>
      </c>
      <c r="D4" s="3" t="s">
        <v>5</v>
      </c>
      <c r="E4" s="98"/>
      <c r="F4" s="97"/>
    </row>
    <row r="5" spans="1:8" ht="14.25" customHeight="1" x14ac:dyDescent="0.3">
      <c r="B5" s="4" t="s">
        <v>6</v>
      </c>
      <c r="C5" s="5">
        <v>45729</v>
      </c>
      <c r="D5" s="1">
        <v>500000</v>
      </c>
      <c r="H5" s="6"/>
    </row>
    <row r="6" spans="1:8" ht="14.25" customHeight="1" x14ac:dyDescent="0.3">
      <c r="B6" s="4" t="s">
        <v>7</v>
      </c>
      <c r="C6" s="5">
        <v>45729</v>
      </c>
      <c r="D6" s="1">
        <v>500000</v>
      </c>
      <c r="E6" s="100">
        <f>SUM(D6:D8)</f>
        <v>2979000</v>
      </c>
      <c r="F6" s="101">
        <f>3343750-E6</f>
        <v>364750</v>
      </c>
      <c r="H6" s="6"/>
    </row>
    <row r="7" spans="1:8" ht="14.25" customHeight="1" x14ac:dyDescent="0.3">
      <c r="B7" s="4" t="s">
        <v>7</v>
      </c>
      <c r="C7" s="5"/>
      <c r="D7" s="1">
        <v>2179000</v>
      </c>
      <c r="E7" s="98"/>
      <c r="F7" s="102"/>
      <c r="H7" s="6"/>
    </row>
    <row r="8" spans="1:8" ht="14.25" customHeight="1" x14ac:dyDescent="0.3">
      <c r="B8" s="4" t="s">
        <v>69</v>
      </c>
      <c r="C8" s="94">
        <v>45764</v>
      </c>
      <c r="D8" s="1">
        <v>300000</v>
      </c>
      <c r="E8" s="98"/>
      <c r="F8" s="102"/>
      <c r="H8" s="6"/>
    </row>
    <row r="9" spans="1:8" ht="14.25" customHeight="1" x14ac:dyDescent="0.3">
      <c r="B9" s="11" t="s">
        <v>8</v>
      </c>
      <c r="C9" s="12">
        <v>45737</v>
      </c>
      <c r="D9" s="13">
        <v>100000</v>
      </c>
      <c r="E9" s="92"/>
    </row>
    <row r="10" spans="1:8" ht="14.25" customHeight="1" x14ac:dyDescent="0.3">
      <c r="B10" s="11" t="s">
        <v>8</v>
      </c>
      <c r="C10" s="12">
        <v>45743</v>
      </c>
      <c r="D10" s="13">
        <v>100000</v>
      </c>
      <c r="E10" s="93"/>
    </row>
    <row r="11" spans="1:8" ht="14.25" customHeight="1" x14ac:dyDescent="0.3">
      <c r="B11" s="11" t="s">
        <v>8</v>
      </c>
      <c r="C11" s="12">
        <v>45746</v>
      </c>
      <c r="D11" s="13">
        <v>100000</v>
      </c>
      <c r="E11" s="93"/>
    </row>
    <row r="12" spans="1:8" ht="14.25" customHeight="1" x14ac:dyDescent="0.3">
      <c r="B12" s="11" t="s">
        <v>8</v>
      </c>
      <c r="C12" s="12">
        <v>45752</v>
      </c>
      <c r="D12" s="13">
        <v>50000</v>
      </c>
      <c r="E12" s="93"/>
    </row>
    <row r="13" spans="1:8" ht="14.25" customHeight="1" x14ac:dyDescent="0.3">
      <c r="B13" s="11" t="s">
        <v>8</v>
      </c>
      <c r="C13" s="12">
        <v>45760</v>
      </c>
      <c r="D13" s="13">
        <v>100000</v>
      </c>
      <c r="E13" s="93"/>
    </row>
    <row r="14" spans="1:8" ht="14.25" customHeight="1" x14ac:dyDescent="0.3">
      <c r="B14" s="11" t="s">
        <v>8</v>
      </c>
      <c r="C14" s="12">
        <v>45765</v>
      </c>
      <c r="D14" s="13">
        <v>200000</v>
      </c>
      <c r="E14" s="93"/>
    </row>
    <row r="15" spans="1:8" ht="14.25" customHeight="1" x14ac:dyDescent="0.3">
      <c r="B15" s="11"/>
      <c r="C15" s="12"/>
      <c r="D15" s="13"/>
      <c r="E15" s="93"/>
    </row>
    <row r="16" spans="1:8" ht="14.25" customHeight="1" x14ac:dyDescent="0.3">
      <c r="B16" s="17" t="s">
        <v>9</v>
      </c>
      <c r="C16" s="18">
        <v>45741</v>
      </c>
      <c r="D16" s="19">
        <v>500000</v>
      </c>
      <c r="E16" s="100"/>
    </row>
    <row r="17" spans="2:8" ht="14.25" customHeight="1" x14ac:dyDescent="0.3">
      <c r="B17" s="17" t="s">
        <v>10</v>
      </c>
      <c r="C17" s="18">
        <v>45744</v>
      </c>
      <c r="D17" s="19">
        <v>500000</v>
      </c>
      <c r="E17" s="98"/>
      <c r="H17" s="6"/>
    </row>
    <row r="18" spans="2:8" ht="14.25" customHeight="1" x14ac:dyDescent="0.3">
      <c r="B18" s="17" t="s">
        <v>18</v>
      </c>
      <c r="C18" s="18">
        <v>45758</v>
      </c>
      <c r="D18" s="19">
        <v>650000</v>
      </c>
      <c r="E18" s="98"/>
    </row>
    <row r="19" spans="2:8" ht="14.25" customHeight="1" x14ac:dyDescent="0.3">
      <c r="B19" s="4" t="s">
        <v>11</v>
      </c>
      <c r="C19" s="5">
        <v>45744</v>
      </c>
      <c r="D19" s="1">
        <v>500000</v>
      </c>
      <c r="H19" s="6"/>
    </row>
    <row r="20" spans="2:8" ht="14.25" customHeight="1" x14ac:dyDescent="0.3">
      <c r="B20" s="4" t="s">
        <v>12</v>
      </c>
      <c r="C20" s="5">
        <v>45744</v>
      </c>
      <c r="D20" s="1">
        <v>150000</v>
      </c>
    </row>
    <row r="21" spans="2:8" ht="14.25" customHeight="1" x14ac:dyDescent="0.3">
      <c r="B21" s="4" t="s">
        <v>13</v>
      </c>
      <c r="C21" s="5">
        <v>45744</v>
      </c>
      <c r="D21" s="1">
        <v>1250000</v>
      </c>
    </row>
    <row r="22" spans="2:8" ht="14.25" customHeight="1" x14ac:dyDescent="0.3">
      <c r="B22" s="7" t="s">
        <v>66</v>
      </c>
      <c r="C22" s="8">
        <v>45745</v>
      </c>
      <c r="D22" s="9">
        <v>250000</v>
      </c>
    </row>
    <row r="23" spans="2:8" ht="14.25" customHeight="1" x14ac:dyDescent="0.3">
      <c r="B23" s="7" t="s">
        <v>67</v>
      </c>
      <c r="C23" s="8">
        <v>45745</v>
      </c>
      <c r="D23" s="9">
        <v>500000</v>
      </c>
      <c r="H23" s="1"/>
    </row>
    <row r="24" spans="2:8" ht="14.25" customHeight="1" x14ac:dyDescent="0.3">
      <c r="B24" s="7" t="s">
        <v>14</v>
      </c>
      <c r="C24" s="8">
        <v>45746</v>
      </c>
      <c r="D24" s="9">
        <v>100000</v>
      </c>
    </row>
    <row r="25" spans="2:8" ht="14.4" x14ac:dyDescent="0.3">
      <c r="B25" s="7" t="s">
        <v>14</v>
      </c>
      <c r="C25" s="8">
        <v>45754</v>
      </c>
      <c r="D25" s="9">
        <v>150000</v>
      </c>
    </row>
    <row r="26" spans="2:8" ht="14.25" customHeight="1" x14ac:dyDescent="0.3">
      <c r="B26" s="7" t="s">
        <v>14</v>
      </c>
      <c r="C26" s="8">
        <v>45757</v>
      </c>
      <c r="D26" s="9">
        <v>50000</v>
      </c>
    </row>
    <row r="27" spans="2:8" ht="14.25" customHeight="1" x14ac:dyDescent="0.3">
      <c r="B27" s="7" t="s">
        <v>14</v>
      </c>
      <c r="C27" s="8">
        <v>45760</v>
      </c>
      <c r="D27" s="9">
        <v>100000</v>
      </c>
    </row>
    <row r="28" spans="2:8" ht="14.25" customHeight="1" x14ac:dyDescent="0.3">
      <c r="B28" s="7" t="s">
        <v>14</v>
      </c>
      <c r="C28" s="8">
        <v>45765</v>
      </c>
      <c r="D28" s="9">
        <v>100000</v>
      </c>
    </row>
    <row r="29" spans="2:8" ht="14.25" customHeight="1" x14ac:dyDescent="0.3">
      <c r="B29" s="7"/>
      <c r="C29" s="8"/>
      <c r="D29" s="9"/>
    </row>
    <row r="30" spans="2:8" ht="14.25" customHeight="1" x14ac:dyDescent="0.3">
      <c r="B30" s="14"/>
      <c r="C30" s="15"/>
      <c r="D30" s="16"/>
    </row>
    <row r="31" spans="2:8" ht="14.25" customHeight="1" x14ac:dyDescent="0.3">
      <c r="B31" s="14" t="s">
        <v>68</v>
      </c>
      <c r="C31" s="15"/>
      <c r="D31" s="16">
        <v>1500000</v>
      </c>
    </row>
    <row r="32" spans="2:8" ht="14.25" customHeight="1" x14ac:dyDescent="0.3">
      <c r="B32" s="14" t="s">
        <v>15</v>
      </c>
      <c r="C32" s="15">
        <v>45746</v>
      </c>
      <c r="D32" s="16">
        <v>500000</v>
      </c>
    </row>
    <row r="33" spans="2:7" ht="14.25" customHeight="1" x14ac:dyDescent="0.3">
      <c r="B33" s="14" t="s">
        <v>15</v>
      </c>
      <c r="C33" s="15">
        <v>45754</v>
      </c>
      <c r="D33" s="16">
        <v>200000</v>
      </c>
    </row>
    <row r="34" spans="2:7" ht="14.25" customHeight="1" x14ac:dyDescent="0.3">
      <c r="B34" s="14" t="s">
        <v>15</v>
      </c>
      <c r="C34" s="15">
        <v>45757</v>
      </c>
      <c r="D34" s="16">
        <v>550000</v>
      </c>
    </row>
    <row r="35" spans="2:7" ht="14.25" customHeight="1" x14ac:dyDescent="0.3">
      <c r="B35" s="14" t="s">
        <v>15</v>
      </c>
      <c r="C35" s="90">
        <v>45764</v>
      </c>
      <c r="D35" s="16">
        <v>200000</v>
      </c>
    </row>
    <row r="36" spans="2:7" ht="14.25" customHeight="1" x14ac:dyDescent="0.3">
      <c r="B36" s="4" t="s">
        <v>16</v>
      </c>
      <c r="C36" s="5">
        <v>45751</v>
      </c>
      <c r="D36" s="1">
        <v>200000</v>
      </c>
    </row>
    <row r="37" spans="2:7" ht="14.25" customHeight="1" x14ac:dyDescent="0.3">
      <c r="B37" s="4" t="s">
        <v>16</v>
      </c>
      <c r="C37" s="5">
        <v>45758</v>
      </c>
      <c r="D37" s="1">
        <v>200000</v>
      </c>
    </row>
    <row r="38" spans="2:7" ht="14.25" customHeight="1" x14ac:dyDescent="0.3">
      <c r="B38" s="4" t="s">
        <v>16</v>
      </c>
      <c r="C38" s="94">
        <v>45760</v>
      </c>
      <c r="D38" s="1">
        <v>300000</v>
      </c>
    </row>
    <row r="39" spans="2:7" ht="14.25" customHeight="1" x14ac:dyDescent="0.3">
      <c r="B39" s="4" t="s">
        <v>16</v>
      </c>
      <c r="C39" s="94">
        <v>45768</v>
      </c>
      <c r="D39" s="1">
        <v>250000</v>
      </c>
      <c r="E39" s="91"/>
    </row>
    <row r="40" spans="2:7" ht="14.25" customHeight="1" x14ac:dyDescent="0.3">
      <c r="B40" s="4" t="s">
        <v>17</v>
      </c>
      <c r="D40" s="1">
        <f>137500+21500</f>
        <v>159000</v>
      </c>
    </row>
    <row r="41" spans="2:7" ht="14.25" customHeight="1" x14ac:dyDescent="0.3">
      <c r="B41" s="4" t="s">
        <v>19</v>
      </c>
      <c r="C41" s="5">
        <v>45761</v>
      </c>
      <c r="D41" s="1">
        <v>156000</v>
      </c>
      <c r="E41" s="99" t="s">
        <v>20</v>
      </c>
      <c r="F41" s="96"/>
      <c r="G41" s="4" t="s">
        <v>21</v>
      </c>
    </row>
    <row r="42" spans="2:7" ht="14.25" customHeight="1" x14ac:dyDescent="0.3">
      <c r="B42" s="4" t="s">
        <v>22</v>
      </c>
      <c r="C42" s="5">
        <v>45761</v>
      </c>
      <c r="D42" s="1">
        <f>24500+37300+36000</f>
        <v>97800</v>
      </c>
    </row>
    <row r="43" spans="2:7" ht="14.25" customHeight="1" x14ac:dyDescent="0.3">
      <c r="B43" s="4" t="s">
        <v>23</v>
      </c>
      <c r="C43" s="5">
        <v>45761</v>
      </c>
      <c r="D43" s="1">
        <v>10000</v>
      </c>
    </row>
    <row r="44" spans="2:7" ht="14.25" customHeight="1" x14ac:dyDescent="0.3">
      <c r="B44" s="4" t="s">
        <v>24</v>
      </c>
      <c r="C44" s="5">
        <v>45761</v>
      </c>
      <c r="D44" s="1">
        <v>40000</v>
      </c>
      <c r="G44" s="1"/>
    </row>
    <row r="45" spans="2:7" ht="14.25" customHeight="1" x14ac:dyDescent="0.3">
      <c r="B45" s="4" t="s">
        <v>25</v>
      </c>
      <c r="C45" s="5">
        <v>45761</v>
      </c>
      <c r="D45" s="1">
        <v>12000</v>
      </c>
    </row>
    <row r="46" spans="2:7" ht="14.25" customHeight="1" x14ac:dyDescent="0.3">
      <c r="B46" s="4" t="s">
        <v>26</v>
      </c>
      <c r="C46" s="5">
        <v>45761</v>
      </c>
      <c r="D46" s="1">
        <v>51500</v>
      </c>
    </row>
    <row r="47" spans="2:7" ht="14.25" customHeight="1" x14ac:dyDescent="0.3">
      <c r="B47" s="4" t="s">
        <v>27</v>
      </c>
      <c r="C47" s="5">
        <v>45761</v>
      </c>
      <c r="D47" s="1">
        <v>50000</v>
      </c>
    </row>
    <row r="48" spans="2:7" ht="14.25" customHeight="1" x14ac:dyDescent="0.3">
      <c r="B48" s="4" t="s">
        <v>28</v>
      </c>
      <c r="C48" s="5">
        <v>45761</v>
      </c>
      <c r="D48" s="1">
        <v>50000</v>
      </c>
      <c r="F48" s="10"/>
    </row>
    <row r="49" spans="2:4" ht="14.25" customHeight="1" x14ac:dyDescent="0.3">
      <c r="B49" s="4" t="s">
        <v>71</v>
      </c>
      <c r="C49" s="94">
        <v>45767</v>
      </c>
      <c r="D49" s="1">
        <v>20000</v>
      </c>
    </row>
    <row r="50" spans="2:4" ht="14.25" customHeight="1" x14ac:dyDescent="0.3"/>
    <row r="51" spans="2:4" ht="14.25" customHeight="1" x14ac:dyDescent="0.3">
      <c r="B51" s="4"/>
      <c r="C51" s="94"/>
      <c r="D51" s="1"/>
    </row>
    <row r="52" spans="2:4" ht="14.25" customHeight="1" x14ac:dyDescent="0.3">
      <c r="D52" s="1"/>
    </row>
    <row r="53" spans="2:4" ht="14.25" customHeight="1" x14ac:dyDescent="0.3">
      <c r="D53" s="1">
        <f>SUM(D5:D49)</f>
        <v>13475300</v>
      </c>
    </row>
    <row r="54" spans="2:4" ht="14.25" customHeight="1" x14ac:dyDescent="0.3">
      <c r="D54" s="1"/>
    </row>
    <row r="55" spans="2:4" ht="14.25" customHeight="1" x14ac:dyDescent="0.3">
      <c r="C55" s="6"/>
      <c r="D55" s="1"/>
    </row>
    <row r="56" spans="2:4" ht="14.25" customHeight="1" x14ac:dyDescent="0.3">
      <c r="C56" s="6"/>
      <c r="D56" s="1"/>
    </row>
    <row r="57" spans="2:4" ht="14.25" customHeight="1" x14ac:dyDescent="0.3">
      <c r="C57" s="6"/>
      <c r="D57" s="1"/>
    </row>
    <row r="58" spans="2:4" ht="14.25" customHeight="1" x14ac:dyDescent="0.3">
      <c r="D58" s="1"/>
    </row>
    <row r="59" spans="2:4" ht="14.25" customHeight="1" x14ac:dyDescent="0.3">
      <c r="C59" s="6"/>
      <c r="D59" s="1"/>
    </row>
    <row r="60" spans="2:4" ht="14.25" customHeight="1" x14ac:dyDescent="0.3">
      <c r="D60" s="1"/>
    </row>
    <row r="61" spans="2:4" ht="14.25" customHeight="1" x14ac:dyDescent="0.3">
      <c r="D61" s="1"/>
    </row>
    <row r="62" spans="2:4" ht="14.25" customHeight="1" x14ac:dyDescent="0.3">
      <c r="D62" s="1"/>
    </row>
    <row r="63" spans="2:4" ht="14.25" customHeight="1" x14ac:dyDescent="0.3">
      <c r="D63" s="1"/>
    </row>
    <row r="64" spans="2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  <row r="985" spans="4:4" ht="14.25" customHeight="1" x14ac:dyDescent="0.3">
      <c r="D985" s="1"/>
    </row>
    <row r="986" spans="4:4" ht="14.25" customHeight="1" x14ac:dyDescent="0.3">
      <c r="D986" s="1"/>
    </row>
    <row r="987" spans="4:4" ht="14.25" customHeight="1" x14ac:dyDescent="0.3">
      <c r="D987" s="1"/>
    </row>
    <row r="988" spans="4:4" ht="14.25" customHeight="1" x14ac:dyDescent="0.3">
      <c r="D988" s="1"/>
    </row>
    <row r="989" spans="4:4" ht="14.25" customHeight="1" x14ac:dyDescent="0.3">
      <c r="D989" s="1"/>
    </row>
    <row r="990" spans="4:4" ht="14.25" customHeight="1" x14ac:dyDescent="0.3">
      <c r="D990" s="1"/>
    </row>
    <row r="991" spans="4:4" ht="14.25" customHeight="1" x14ac:dyDescent="0.3">
      <c r="D991" s="1"/>
    </row>
    <row r="992" spans="4:4" ht="14.25" customHeight="1" x14ac:dyDescent="0.3">
      <c r="D992" s="1"/>
    </row>
    <row r="993" spans="4:4" ht="14.25" customHeight="1" x14ac:dyDescent="0.3">
      <c r="D993" s="1"/>
    </row>
    <row r="994" spans="4:4" ht="14.25" customHeight="1" x14ac:dyDescent="0.3">
      <c r="D994" s="1"/>
    </row>
    <row r="995" spans="4:4" ht="14.25" customHeight="1" x14ac:dyDescent="0.3">
      <c r="D995" s="1"/>
    </row>
    <row r="996" spans="4:4" ht="14.25" customHeight="1" x14ac:dyDescent="0.3">
      <c r="D996" s="1"/>
    </row>
    <row r="997" spans="4:4" ht="14.25" customHeight="1" x14ac:dyDescent="0.3">
      <c r="D997" s="1"/>
    </row>
    <row r="998" spans="4:4" ht="14.25" customHeight="1" x14ac:dyDescent="0.3">
      <c r="D998" s="1"/>
    </row>
    <row r="999" spans="4:4" ht="14.25" customHeight="1" x14ac:dyDescent="0.3">
      <c r="D999" s="1"/>
    </row>
    <row r="1000" spans="4:4" ht="14.25" customHeight="1" x14ac:dyDescent="0.3">
      <c r="D1000" s="1"/>
    </row>
    <row r="1001" spans="4:4" ht="14.25" customHeight="1" x14ac:dyDescent="0.3">
      <c r="D1001" s="1"/>
    </row>
    <row r="1002" spans="4:4" ht="14.25" customHeight="1" x14ac:dyDescent="0.3">
      <c r="D1002" s="1"/>
    </row>
    <row r="1003" spans="4:4" ht="14.25" customHeight="1" x14ac:dyDescent="0.3">
      <c r="D1003" s="1"/>
    </row>
    <row r="1004" spans="4:4" ht="14.25" customHeight="1" x14ac:dyDescent="0.3">
      <c r="D1004" s="1"/>
    </row>
    <row r="1005" spans="4:4" ht="14.25" customHeight="1" x14ac:dyDescent="0.3">
      <c r="D1005" s="1"/>
    </row>
    <row r="1006" spans="4:4" ht="14.25" customHeight="1" x14ac:dyDescent="0.3">
      <c r="D1006" s="1"/>
    </row>
    <row r="1007" spans="4:4" ht="14.25" customHeight="1" x14ac:dyDescent="0.3">
      <c r="D1007" s="1"/>
    </row>
    <row r="1008" spans="4:4" ht="14.25" customHeight="1" x14ac:dyDescent="0.3">
      <c r="D1008" s="1"/>
    </row>
    <row r="1009" spans="4:4" ht="14.25" customHeight="1" x14ac:dyDescent="0.3">
      <c r="D1009" s="1"/>
    </row>
    <row r="1010" spans="4:4" ht="14.25" customHeight="1" x14ac:dyDescent="0.3">
      <c r="D1010" s="1"/>
    </row>
    <row r="1011" spans="4:4" ht="14.25" customHeight="1" x14ac:dyDescent="0.3">
      <c r="D1011" s="1"/>
    </row>
    <row r="1012" spans="4:4" ht="14.25" customHeight="1" x14ac:dyDescent="0.3">
      <c r="D1012" s="1"/>
    </row>
    <row r="1013" spans="4:4" ht="14.25" customHeight="1" x14ac:dyDescent="0.3">
      <c r="D1013" s="1"/>
    </row>
  </sheetData>
  <mergeCells count="8">
    <mergeCell ref="A3:A4"/>
    <mergeCell ref="B3:D3"/>
    <mergeCell ref="E3:E4"/>
    <mergeCell ref="E41:F41"/>
    <mergeCell ref="E16:E18"/>
    <mergeCell ref="E6:E8"/>
    <mergeCell ref="F3:F4"/>
    <mergeCell ref="F6:F8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2:H96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26" sqref="E26"/>
    </sheetView>
  </sheetViews>
  <sheetFormatPr defaultColWidth="14.44140625" defaultRowHeight="13.8" x14ac:dyDescent="0.3"/>
  <cols>
    <col min="1" max="1" width="10.5546875" style="48" customWidth="1"/>
    <col min="2" max="2" width="20.5546875" style="48" customWidth="1"/>
    <col min="3" max="3" width="59.77734375" style="48" bestFit="1" customWidth="1"/>
    <col min="4" max="4" width="14.21875" style="21" customWidth="1"/>
    <col min="5" max="6" width="13.109375" style="48" customWidth="1"/>
    <col min="7" max="8" width="8.6640625" style="48" customWidth="1"/>
    <col min="9" max="9" width="17.21875" style="48" customWidth="1"/>
    <col min="10" max="10" width="10.5546875" style="48" bestFit="1" customWidth="1"/>
    <col min="11" max="18" width="8.6640625" style="48" customWidth="1"/>
    <col min="19" max="16384" width="14.44140625" style="48"/>
  </cols>
  <sheetData>
    <row r="2" spans="2:8" s="52" customFormat="1" ht="22.2" x14ac:dyDescent="0.3">
      <c r="B2" s="105" t="s">
        <v>43</v>
      </c>
      <c r="C2" s="105"/>
      <c r="D2" s="105"/>
      <c r="E2" s="105"/>
      <c r="F2" s="105"/>
    </row>
    <row r="3" spans="2:8" s="52" customFormat="1" ht="22.2" x14ac:dyDescent="0.3">
      <c r="B3" s="105" t="s">
        <v>51</v>
      </c>
      <c r="C3" s="105"/>
      <c r="D3" s="105"/>
      <c r="E3" s="105"/>
      <c r="F3" s="105"/>
    </row>
    <row r="4" spans="2:8" ht="14.25" customHeight="1" thickBot="1" x14ac:dyDescent="0.35">
      <c r="B4" s="53"/>
      <c r="C4" s="53"/>
      <c r="D4" s="53"/>
      <c r="E4" s="53"/>
      <c r="F4" s="53"/>
    </row>
    <row r="5" spans="2:8" s="26" customFormat="1" ht="25.2" customHeight="1" thickTop="1" thickBot="1" x14ac:dyDescent="0.35">
      <c r="B5" s="22" t="s">
        <v>34</v>
      </c>
      <c r="C5" s="23" t="s">
        <v>35</v>
      </c>
      <c r="D5" s="24" t="s">
        <v>36</v>
      </c>
      <c r="E5" s="24" t="s">
        <v>37</v>
      </c>
      <c r="F5" s="25" t="s">
        <v>38</v>
      </c>
    </row>
    <row r="6" spans="2:8" ht="16.95" customHeight="1" thickTop="1" x14ac:dyDescent="0.3">
      <c r="B6" s="27"/>
      <c r="C6" s="28" t="s">
        <v>42</v>
      </c>
      <c r="D6" s="29">
        <f>'[1]SALAR_MAR 25'!$I$39</f>
        <v>9865000</v>
      </c>
      <c r="E6" s="30"/>
      <c r="F6" s="54">
        <f>D6--E6</f>
        <v>9865000</v>
      </c>
    </row>
    <row r="7" spans="2:8" ht="16.95" customHeight="1" x14ac:dyDescent="0.3">
      <c r="B7" s="31">
        <v>45729</v>
      </c>
      <c r="C7" s="32" t="s">
        <v>6</v>
      </c>
      <c r="D7" s="33"/>
      <c r="E7" s="33">
        <v>500000</v>
      </c>
      <c r="F7" s="55">
        <f>F6+D7-E7</f>
        <v>9365000</v>
      </c>
    </row>
    <row r="8" spans="2:8" ht="16.95" customHeight="1" x14ac:dyDescent="0.3">
      <c r="B8" s="31">
        <v>45729</v>
      </c>
      <c r="C8" s="32" t="s">
        <v>7</v>
      </c>
      <c r="D8" s="33"/>
      <c r="E8" s="33">
        <v>500000</v>
      </c>
      <c r="F8" s="55">
        <f t="shared" ref="F8:F28" si="0">F7+D8-E8</f>
        <v>8865000</v>
      </c>
    </row>
    <row r="9" spans="2:8" ht="16.95" customHeight="1" x14ac:dyDescent="0.3">
      <c r="B9" s="31">
        <v>45737</v>
      </c>
      <c r="C9" s="82" t="s">
        <v>52</v>
      </c>
      <c r="D9" s="86"/>
      <c r="E9" s="79">
        <v>450000</v>
      </c>
      <c r="F9" s="55">
        <f t="shared" si="0"/>
        <v>8415000</v>
      </c>
    </row>
    <row r="10" spans="2:8" ht="16.95" customHeight="1" x14ac:dyDescent="0.3">
      <c r="B10" s="31">
        <v>45741</v>
      </c>
      <c r="C10" s="82" t="s">
        <v>53</v>
      </c>
      <c r="D10" s="86"/>
      <c r="E10" s="79">
        <v>500000</v>
      </c>
      <c r="F10" s="55">
        <f t="shared" si="0"/>
        <v>7915000</v>
      </c>
    </row>
    <row r="11" spans="2:8" ht="16.95" customHeight="1" x14ac:dyDescent="0.3">
      <c r="B11" s="31">
        <v>45744</v>
      </c>
      <c r="C11" s="82" t="s">
        <v>54</v>
      </c>
      <c r="D11" s="86"/>
      <c r="E11" s="79">
        <v>500000</v>
      </c>
      <c r="F11" s="55">
        <f t="shared" si="0"/>
        <v>7415000</v>
      </c>
    </row>
    <row r="12" spans="2:8" ht="16.95" customHeight="1" x14ac:dyDescent="0.3">
      <c r="B12" s="31">
        <v>45758</v>
      </c>
      <c r="C12" s="49" t="s">
        <v>44</v>
      </c>
      <c r="D12" s="34"/>
      <c r="E12" s="33">
        <v>650000</v>
      </c>
      <c r="F12" s="55">
        <f t="shared" si="0"/>
        <v>6765000</v>
      </c>
    </row>
    <row r="13" spans="2:8" ht="16.95" customHeight="1" x14ac:dyDescent="0.3">
      <c r="B13" s="31">
        <v>45744</v>
      </c>
      <c r="C13" s="32" t="s">
        <v>45</v>
      </c>
      <c r="D13" s="33"/>
      <c r="E13" s="33">
        <v>500000</v>
      </c>
      <c r="F13" s="55">
        <f t="shared" si="0"/>
        <v>6265000</v>
      </c>
    </row>
    <row r="14" spans="2:8" ht="16.95" customHeight="1" x14ac:dyDescent="0.3">
      <c r="B14" s="31">
        <v>45744</v>
      </c>
      <c r="C14" s="32" t="s">
        <v>46</v>
      </c>
      <c r="D14" s="33"/>
      <c r="E14" s="33">
        <v>150000</v>
      </c>
      <c r="F14" s="55">
        <f t="shared" si="0"/>
        <v>6115000</v>
      </c>
    </row>
    <row r="15" spans="2:8" ht="16.95" customHeight="1" x14ac:dyDescent="0.3">
      <c r="B15" s="31">
        <v>45744</v>
      </c>
      <c r="C15" s="32" t="s">
        <v>47</v>
      </c>
      <c r="D15" s="33"/>
      <c r="E15" s="33">
        <v>1250000</v>
      </c>
      <c r="F15" s="55">
        <f t="shared" si="0"/>
        <v>4865000</v>
      </c>
    </row>
    <row r="16" spans="2:8" ht="16.95" customHeight="1" x14ac:dyDescent="0.3">
      <c r="B16" s="31">
        <v>45745</v>
      </c>
      <c r="C16" s="32" t="s">
        <v>48</v>
      </c>
      <c r="D16" s="33"/>
      <c r="E16" s="33">
        <v>250000</v>
      </c>
      <c r="F16" s="55">
        <f t="shared" si="0"/>
        <v>4615000</v>
      </c>
    </row>
    <row r="17" spans="2:6" ht="16.95" customHeight="1" x14ac:dyDescent="0.3">
      <c r="B17" s="31">
        <v>45745</v>
      </c>
      <c r="C17" s="32" t="s">
        <v>29</v>
      </c>
      <c r="D17" s="33"/>
      <c r="E17" s="33">
        <v>500000</v>
      </c>
      <c r="F17" s="55">
        <f t="shared" si="0"/>
        <v>4115000</v>
      </c>
    </row>
    <row r="18" spans="2:6" ht="16.95" customHeight="1" x14ac:dyDescent="0.3">
      <c r="B18" s="31">
        <v>45746</v>
      </c>
      <c r="C18" s="32" t="s">
        <v>30</v>
      </c>
      <c r="D18" s="33"/>
      <c r="E18" s="33">
        <v>400000</v>
      </c>
      <c r="F18" s="55">
        <f t="shared" si="0"/>
        <v>3715000</v>
      </c>
    </row>
    <row r="19" spans="2:6" ht="16.95" customHeight="1" x14ac:dyDescent="0.3">
      <c r="B19" s="31">
        <v>45746</v>
      </c>
      <c r="C19" s="85" t="s">
        <v>49</v>
      </c>
      <c r="D19" s="80"/>
      <c r="E19" s="80">
        <v>500000</v>
      </c>
      <c r="F19" s="55">
        <f t="shared" si="0"/>
        <v>3215000</v>
      </c>
    </row>
    <row r="20" spans="2:6" ht="16.95" customHeight="1" x14ac:dyDescent="0.3">
      <c r="B20" s="31">
        <v>45751</v>
      </c>
      <c r="C20" s="85" t="s">
        <v>63</v>
      </c>
      <c r="D20" s="80"/>
      <c r="E20" s="80">
        <v>200000</v>
      </c>
      <c r="F20" s="55">
        <f t="shared" si="0"/>
        <v>3015000</v>
      </c>
    </row>
    <row r="21" spans="2:6" ht="16.95" customHeight="1" x14ac:dyDescent="0.3">
      <c r="B21" s="31">
        <v>45754</v>
      </c>
      <c r="C21" s="85" t="s">
        <v>50</v>
      </c>
      <c r="D21" s="80"/>
      <c r="E21" s="80">
        <v>200000</v>
      </c>
      <c r="F21" s="55">
        <f t="shared" si="0"/>
        <v>2815000</v>
      </c>
    </row>
    <row r="22" spans="2:6" ht="16.95" customHeight="1" x14ac:dyDescent="0.3">
      <c r="B22" s="31">
        <v>45757</v>
      </c>
      <c r="C22" s="85" t="s">
        <v>65</v>
      </c>
      <c r="D22" s="80"/>
      <c r="E22" s="80">
        <v>550000</v>
      </c>
      <c r="F22" s="55">
        <f t="shared" si="0"/>
        <v>2265000</v>
      </c>
    </row>
    <row r="23" spans="2:6" ht="16.95" customHeight="1" x14ac:dyDescent="0.3">
      <c r="B23" s="45">
        <v>45758</v>
      </c>
      <c r="C23" s="49" t="s">
        <v>64</v>
      </c>
      <c r="D23" s="33"/>
      <c r="E23" s="33">
        <v>200000</v>
      </c>
      <c r="F23" s="55">
        <f t="shared" si="0"/>
        <v>2065000</v>
      </c>
    </row>
    <row r="24" spans="2:6" ht="16.95" customHeight="1" x14ac:dyDescent="0.3">
      <c r="B24" s="31"/>
      <c r="C24" s="32" t="s">
        <v>31</v>
      </c>
      <c r="D24" s="33"/>
      <c r="E24" s="33">
        <f>137500+21500</f>
        <v>159000</v>
      </c>
      <c r="F24" s="55">
        <f t="shared" si="0"/>
        <v>1906000</v>
      </c>
    </row>
    <row r="25" spans="2:6" ht="16.95" customHeight="1" x14ac:dyDescent="0.3">
      <c r="B25" s="31">
        <v>45396</v>
      </c>
      <c r="C25" s="32" t="s">
        <v>19</v>
      </c>
      <c r="D25" s="33"/>
      <c r="E25" s="33">
        <v>156000</v>
      </c>
      <c r="F25" s="55">
        <f t="shared" si="0"/>
        <v>1750000</v>
      </c>
    </row>
    <row r="26" spans="2:6" ht="16.95" customHeight="1" x14ac:dyDescent="0.3">
      <c r="B26" s="31">
        <v>45396</v>
      </c>
      <c r="C26" s="32" t="s">
        <v>32</v>
      </c>
      <c r="D26" s="33"/>
      <c r="E26" s="33">
        <f>97800+10000+40000+12000+50000+50000</f>
        <v>259800</v>
      </c>
      <c r="F26" s="55">
        <f t="shared" si="0"/>
        <v>1490200</v>
      </c>
    </row>
    <row r="27" spans="2:6" ht="16.95" customHeight="1" x14ac:dyDescent="0.3">
      <c r="B27" s="31">
        <v>45396</v>
      </c>
      <c r="C27" s="32" t="s">
        <v>33</v>
      </c>
      <c r="D27" s="33"/>
      <c r="E27" s="33">
        <v>51500</v>
      </c>
      <c r="F27" s="55">
        <f t="shared" si="0"/>
        <v>1438700</v>
      </c>
    </row>
    <row r="28" spans="2:6" ht="16.95" customHeight="1" x14ac:dyDescent="0.3">
      <c r="B28" s="56"/>
      <c r="C28" s="77" t="s">
        <v>62</v>
      </c>
      <c r="D28" s="78">
        <f>'[1]SALAR_APRIL 25'!$J$17</f>
        <v>1331000</v>
      </c>
      <c r="E28" s="77"/>
      <c r="F28" s="55">
        <f t="shared" si="0"/>
        <v>2769700</v>
      </c>
    </row>
    <row r="29" spans="2:6" ht="16.95" customHeight="1" thickBot="1" x14ac:dyDescent="0.35">
      <c r="B29" s="58"/>
      <c r="C29" s="59"/>
      <c r="D29" s="35"/>
      <c r="E29" s="59"/>
      <c r="F29" s="60"/>
    </row>
    <row r="30" spans="2:6" s="61" customFormat="1" ht="16.95" customHeight="1" thickTop="1" x14ac:dyDescent="0.3">
      <c r="B30" s="108" t="s">
        <v>41</v>
      </c>
      <c r="C30" s="109"/>
      <c r="D30" s="36">
        <f>SUM(D6:D29)</f>
        <v>11196000</v>
      </c>
      <c r="E30" s="37"/>
      <c r="F30" s="38"/>
    </row>
    <row r="31" spans="2:6" s="61" customFormat="1" ht="16.95" customHeight="1" x14ac:dyDescent="0.3">
      <c r="B31" s="110" t="s">
        <v>39</v>
      </c>
      <c r="C31" s="111"/>
      <c r="D31" s="39"/>
      <c r="E31" s="40">
        <f>SUM(E7:E29)</f>
        <v>8426300</v>
      </c>
      <c r="F31" s="41"/>
    </row>
    <row r="32" spans="2:6" s="61" customFormat="1" ht="16.95" customHeight="1" thickBot="1" x14ac:dyDescent="0.35">
      <c r="B32" s="103" t="s">
        <v>40</v>
      </c>
      <c r="C32" s="104"/>
      <c r="D32" s="42"/>
      <c r="E32" s="43"/>
      <c r="F32" s="76">
        <f>D30-E31</f>
        <v>2769700</v>
      </c>
    </row>
    <row r="33" spans="2:5" ht="14.25" customHeight="1" thickTop="1" x14ac:dyDescent="0.3"/>
    <row r="34" spans="2:5" ht="14.25" customHeight="1" x14ac:dyDescent="0.3"/>
    <row r="35" spans="2:5" ht="14.25" customHeight="1" x14ac:dyDescent="0.3"/>
    <row r="36" spans="2:5" ht="20.399999999999999" customHeight="1" x14ac:dyDescent="0.3">
      <c r="D36" s="51" t="s">
        <v>58</v>
      </c>
      <c r="E36" s="62" t="s">
        <v>57</v>
      </c>
    </row>
    <row r="37" spans="2:5" ht="16.2" customHeight="1" x14ac:dyDescent="0.3">
      <c r="B37" s="63"/>
      <c r="C37" s="64"/>
      <c r="D37" s="44"/>
      <c r="E37" s="63"/>
    </row>
    <row r="38" spans="2:5" ht="16.2" customHeight="1" x14ac:dyDescent="0.3">
      <c r="B38" s="83">
        <v>45723</v>
      </c>
      <c r="C38" s="84" t="s">
        <v>56</v>
      </c>
      <c r="D38" s="68">
        <v>1500000</v>
      </c>
      <c r="E38" s="57"/>
    </row>
    <row r="39" spans="2:5" ht="16.2" customHeight="1" x14ac:dyDescent="0.3">
      <c r="B39" s="83">
        <v>45746</v>
      </c>
      <c r="C39" s="85" t="s">
        <v>49</v>
      </c>
      <c r="D39" s="80">
        <v>500000</v>
      </c>
      <c r="E39" s="57"/>
    </row>
    <row r="40" spans="2:5" ht="16.2" customHeight="1" x14ac:dyDescent="0.3">
      <c r="B40" s="83">
        <v>45751</v>
      </c>
      <c r="C40" s="85" t="s">
        <v>63</v>
      </c>
      <c r="D40" s="80">
        <v>200000</v>
      </c>
      <c r="E40" s="57"/>
    </row>
    <row r="41" spans="2:5" ht="16.2" customHeight="1" x14ac:dyDescent="0.3">
      <c r="B41" s="83">
        <v>45754</v>
      </c>
      <c r="C41" s="85" t="s">
        <v>50</v>
      </c>
      <c r="D41" s="80">
        <v>200000</v>
      </c>
      <c r="E41" s="57"/>
    </row>
    <row r="42" spans="2:5" ht="16.2" customHeight="1" x14ac:dyDescent="0.3">
      <c r="B42" s="83">
        <v>45757</v>
      </c>
      <c r="C42" s="85" t="s">
        <v>65</v>
      </c>
      <c r="D42" s="80">
        <v>550000</v>
      </c>
      <c r="E42" s="57"/>
    </row>
    <row r="43" spans="2:5" ht="16.2" customHeight="1" x14ac:dyDescent="0.3">
      <c r="B43" s="45">
        <v>45758</v>
      </c>
      <c r="C43" s="49" t="s">
        <v>64</v>
      </c>
      <c r="D43" s="33">
        <v>200000</v>
      </c>
      <c r="E43" s="57"/>
    </row>
    <row r="44" spans="2:5" ht="16.2" customHeight="1" x14ac:dyDescent="0.3">
      <c r="B44" s="45">
        <v>45723</v>
      </c>
      <c r="C44" s="65" t="s">
        <v>55</v>
      </c>
      <c r="D44" s="34"/>
      <c r="E44" s="68">
        <v>1000000</v>
      </c>
    </row>
    <row r="45" spans="2:5" ht="16.2" customHeight="1" x14ac:dyDescent="0.3">
      <c r="B45" s="87">
        <v>45737</v>
      </c>
      <c r="C45" s="88" t="s">
        <v>52</v>
      </c>
      <c r="D45" s="89"/>
      <c r="E45" s="81">
        <v>450000</v>
      </c>
    </row>
    <row r="46" spans="2:5" ht="16.2" customHeight="1" x14ac:dyDescent="0.3">
      <c r="B46" s="87">
        <v>45741</v>
      </c>
      <c r="C46" s="88" t="s">
        <v>53</v>
      </c>
      <c r="D46" s="89"/>
      <c r="E46" s="81">
        <v>500000</v>
      </c>
    </row>
    <row r="47" spans="2:5" ht="16.2" customHeight="1" x14ac:dyDescent="0.3">
      <c r="B47" s="45">
        <v>45744</v>
      </c>
      <c r="C47" s="49" t="s">
        <v>54</v>
      </c>
      <c r="D47" s="34"/>
      <c r="E47" s="33">
        <v>500000</v>
      </c>
    </row>
    <row r="48" spans="2:5" ht="16.2" customHeight="1" x14ac:dyDescent="0.3">
      <c r="B48" s="45">
        <v>45758</v>
      </c>
      <c r="C48" s="49" t="s">
        <v>44</v>
      </c>
      <c r="D48" s="34"/>
      <c r="E48" s="33">
        <v>650000</v>
      </c>
    </row>
    <row r="49" spans="2:5" ht="16.2" customHeight="1" x14ac:dyDescent="0.3">
      <c r="B49" s="46"/>
      <c r="C49" s="50"/>
      <c r="D49" s="47"/>
      <c r="E49" s="67"/>
    </row>
    <row r="50" spans="2:5" s="66" customFormat="1" ht="22.8" customHeight="1" x14ac:dyDescent="0.3">
      <c r="C50" s="69" t="s">
        <v>59</v>
      </c>
      <c r="D50" s="70">
        <f>SUM(D37:D49)</f>
        <v>3150000</v>
      </c>
      <c r="E50" s="106">
        <f ca="1">SUM(E38:E50)</f>
        <v>12400000</v>
      </c>
    </row>
    <row r="51" spans="2:5" ht="22.8" customHeight="1" x14ac:dyDescent="0.3">
      <c r="C51" s="72" t="s">
        <v>60</v>
      </c>
      <c r="D51" s="71"/>
      <c r="E51" s="107"/>
    </row>
    <row r="52" spans="2:5" ht="14.25" customHeight="1" x14ac:dyDescent="0.3"/>
    <row r="53" spans="2:5" ht="14.25" customHeight="1" x14ac:dyDescent="0.3">
      <c r="C53" s="74"/>
      <c r="D53" s="75" t="s">
        <v>61</v>
      </c>
      <c r="E53" s="73">
        <f>D38+E44</f>
        <v>2500000</v>
      </c>
    </row>
    <row r="54" spans="2:5" ht="14.25" customHeight="1" x14ac:dyDescent="0.3"/>
    <row r="55" spans="2:5" ht="14.25" customHeight="1" x14ac:dyDescent="0.3"/>
    <row r="56" spans="2:5" ht="14.25" customHeight="1" x14ac:dyDescent="0.3"/>
    <row r="57" spans="2:5" ht="14.25" customHeight="1" x14ac:dyDescent="0.3"/>
    <row r="58" spans="2:5" ht="14.25" customHeight="1" x14ac:dyDescent="0.3"/>
    <row r="59" spans="2:5" ht="14.25" customHeight="1" x14ac:dyDescent="0.3"/>
    <row r="60" spans="2:5" ht="14.25" customHeight="1" x14ac:dyDescent="0.3"/>
    <row r="61" spans="2:5" ht="14.25" customHeight="1" x14ac:dyDescent="0.3"/>
    <row r="62" spans="2:5" ht="14.25" customHeight="1" x14ac:dyDescent="0.3"/>
    <row r="63" spans="2:5" ht="14.25" customHeight="1" x14ac:dyDescent="0.3"/>
    <row r="64" spans="2: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</sheetData>
  <mergeCells count="6">
    <mergeCell ref="B32:C32"/>
    <mergeCell ref="B2:F2"/>
    <mergeCell ref="B3:F3"/>
    <mergeCell ref="E50:E51"/>
    <mergeCell ref="B30:C30"/>
    <mergeCell ref="B31:C3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Iqbal</vt:lpstr>
      <vt:lpstr>Cek Data Iqbal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iqbal</dc:creator>
  <cp:lastModifiedBy>muh iqbal</cp:lastModifiedBy>
  <dcterms:created xsi:type="dcterms:W3CDTF">2025-04-10T08:26:58Z</dcterms:created>
  <dcterms:modified xsi:type="dcterms:W3CDTF">2025-04-21T11:40:53Z</dcterms:modified>
</cp:coreProperties>
</file>